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RP\H-62-Avionics\KiCAD\THRValveControlModule\"/>
    </mc:Choice>
  </mc:AlternateContent>
  <xr:revisionPtr revIDLastSave="0" documentId="13_ncr:9_{7D78B041-5F44-4634-9E52-28160A18E683}" xr6:coauthVersionLast="47" xr6:coauthVersionMax="47" xr10:uidLastSave="{00000000-0000-0000-0000-000000000000}"/>
  <bookViews>
    <workbookView xWindow="33480" yWindow="3330" windowWidth="29040" windowHeight="15720" xr2:uid="{8CA50417-0271-44AA-A488-B542925077FF}"/>
  </bookViews>
  <sheets>
    <sheet name="THRValveControlModule" sheetId="1" r:id="rId1"/>
  </sheets>
  <calcPr calcId="0"/>
</workbook>
</file>

<file path=xl/calcChain.xml><?xml version="1.0" encoding="utf-8"?>
<calcChain xmlns="http://schemas.openxmlformats.org/spreadsheetml/2006/main">
  <c r="H3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<sst xmlns="http://schemas.openxmlformats.org/spreadsheetml/2006/main" count="151" uniqueCount="140">
  <si>
    <t>Reference</t>
  </si>
  <si>
    <t>Qty</t>
  </si>
  <si>
    <t>Value</t>
  </si>
  <si>
    <t>Footprint</t>
  </si>
  <si>
    <t>Datasheet</t>
  </si>
  <si>
    <t>Supplyer</t>
  </si>
  <si>
    <t>U2</t>
  </si>
  <si>
    <t>ICM-42688</t>
  </si>
  <si>
    <t>TSRP_IC:StrawberryLinux_ICM-42688-P</t>
  </si>
  <si>
    <t>https://strawberry-linux.com/pub/icm-42688-manual.pdf</t>
  </si>
  <si>
    <t>U6</t>
  </si>
  <si>
    <t>SC8721</t>
  </si>
  <si>
    <t>TSRP_IC:StrawberryLinux_SC8721</t>
  </si>
  <si>
    <t>https://strawberry-linux.com/pub/sc8721-manual.pdf</t>
  </si>
  <si>
    <t>U3</t>
  </si>
  <si>
    <t>ADXL375</t>
  </si>
  <si>
    <t>TSRP_IC:StrawberryLinux_ADXL375</t>
  </si>
  <si>
    <t>https://strawberry-linux.com/pub/adxl375-manual.pdf</t>
  </si>
  <si>
    <t>U1</t>
  </si>
  <si>
    <t>XIAO-RA4M1-SMD</t>
  </si>
  <si>
    <t>TSRP_Seeed_XIAO:XIAO-RA4M1-SMD</t>
  </si>
  <si>
    <t>https://wiki.seeedstudio.com/ja/getting_started_xiao_ra4m1/</t>
  </si>
  <si>
    <t>U4</t>
  </si>
  <si>
    <t>ATA6561</t>
  </si>
  <si>
    <t>Package_SO:SOIC-8_3.9x4.9mm_P1.27mm</t>
  </si>
  <si>
    <t>https://akizukidenshi.com/goodsaffix/ATA6560_1.pdf</t>
  </si>
  <si>
    <t>D2</t>
  </si>
  <si>
    <t>P4KE15A</t>
  </si>
  <si>
    <t>Diode_THT:D_DO-41_SOD81_P2.54mm_Vertical_KathodeUp</t>
  </si>
  <si>
    <t>https://akizukidenshi.com/goodsaffix/P4KE.pdf</t>
  </si>
  <si>
    <t>J4</t>
  </si>
  <si>
    <t>XT30PW-M</t>
  </si>
  <si>
    <t>Connector_AMASS:AMASS_XT30PW-M_1x02_P2.50mm_Horizontal</t>
  </si>
  <si>
    <t>https://akizukidenshi.com/goodsaffix/XT30PW-M.pdf</t>
  </si>
  <si>
    <t>D6</t>
  </si>
  <si>
    <t>1N4148W</t>
  </si>
  <si>
    <t>Diode_SMD:D_SOD-123</t>
  </si>
  <si>
    <t>https://www.vishay.com/docs/85748/1n4148w.pdf</t>
  </si>
  <si>
    <t>U5</t>
  </si>
  <si>
    <t>MAX485E</t>
  </si>
  <si>
    <t>https://datasheets.maximintegrated.com/en/ds/MAX1487E-MAX491E.pdf</t>
  </si>
  <si>
    <t>U8,U9</t>
  </si>
  <si>
    <t>TC7S14F</t>
  </si>
  <si>
    <t>Package_TO_SOT_SMD:SOT-23-5</t>
  </si>
  <si>
    <t>https://www.ti.com/lit/ds/symlink/sn74lvc1g14.pdf</t>
  </si>
  <si>
    <t>C18</t>
  </si>
  <si>
    <t>0.1uF</t>
  </si>
  <si>
    <t>Capacitor_SMD:C_0603_1608Metric_Pad1.08x0.95mm_HandSolder</t>
  </si>
  <si>
    <t>https://akizukidenshi.com/catalog/g/g113374/</t>
  </si>
  <si>
    <t>J1</t>
  </si>
  <si>
    <t>B4B-XH-A(LF)(SN)</t>
  </si>
  <si>
    <t>Connector_JST:JST_XH_B4B-XH-A_1x04_P2.50mm_Vertical</t>
  </si>
  <si>
    <t>https://akizukidenshi.com/goodsaffix/xh.pdf</t>
  </si>
  <si>
    <t>J2,J3</t>
  </si>
  <si>
    <t>B3B-XH-A(LF)(SN)</t>
  </si>
  <si>
    <t>Connector_JST:JST_XH_B3B-XH-A_1x03_P2.50mm_Vertical</t>
  </si>
  <si>
    <t>J6</t>
  </si>
  <si>
    <t>SSD1306</t>
  </si>
  <si>
    <t>Connector_PinHeader_2.54mm:PinHeader_1x04_P2.54mm_Vertical</t>
  </si>
  <si>
    <t>https://akizukidenshi.com/goodsaffix/ssd1306.pdf</t>
  </si>
  <si>
    <t>U7</t>
  </si>
  <si>
    <t>BP5293-50</t>
  </si>
  <si>
    <t>TSRP_IC:BP5293-50</t>
  </si>
  <si>
    <t>https://akizukidenshi.com/goodsaffix/BP5293_DataSheet_J_VerC_161013.pdf</t>
  </si>
  <si>
    <t>LS1</t>
  </si>
  <si>
    <t>UGCT7525AN4</t>
  </si>
  <si>
    <t>TSRP_Speaker:UGCT7525AN4</t>
  </si>
  <si>
    <t>https://akizukidenshi.com/goodsaffix/UGCT7525AN4.pdf</t>
  </si>
  <si>
    <t>SW2</t>
  </si>
  <si>
    <t>SKRPACE010</t>
  </si>
  <si>
    <t>TSRP_Button_Switch_SMD:SKRPACE010</t>
  </si>
  <si>
    <t>https://tech.alpsalpine.com/prod/j/html/tact/surfacemount/skrp/skrpace010.html</t>
  </si>
  <si>
    <t>Q1</t>
  </si>
  <si>
    <t>IRLML6344TRPBFTR</t>
  </si>
  <si>
    <t>Package_TO_SOT_SMD:SOT-23_Handsoldering</t>
  </si>
  <si>
    <t>https://akizukidenshi.com/goodsaffix/irlml6344pbf.pdf</t>
  </si>
  <si>
    <t>C4</t>
  </si>
  <si>
    <t>1000u</t>
  </si>
  <si>
    <t>Capacitor_THT:CP_Radial_D12.5mm_P5.00mm</t>
  </si>
  <si>
    <t>https://akizukidenshi.com/goodsaffix/zlh.pdf</t>
  </si>
  <si>
    <t>SW1</t>
  </si>
  <si>
    <t>IS-2235</t>
  </si>
  <si>
    <t>Button_Switch_THT:SW_CK_JS202011CQN_DPDT_Straight</t>
  </si>
  <si>
    <t>https://akizukidenshi.com/goodsaffix/IS-2235-G_20191212.pdf</t>
  </si>
  <si>
    <t>D5</t>
  </si>
  <si>
    <t>TSRP_Diode:MA_DO-221BC</t>
  </si>
  <si>
    <t>https://akizukidenshi.com/goodsaffix/MA10EB045-file.pdf</t>
  </si>
  <si>
    <t>D1</t>
  </si>
  <si>
    <t>RB160M-30TR</t>
  </si>
  <si>
    <t>https://akizukidenshi.com/goodsaffix/RB160M-30_j.pdf</t>
  </si>
  <si>
    <t>U10</t>
  </si>
  <si>
    <t>MB85RQ8MX</t>
  </si>
  <si>
    <t>Package_SO:SOIC-16W_7.5x10.3mm_P1.27mm</t>
  </si>
  <si>
    <t>https://www.ramxeed.com/jp/home/wp-content/uploads/2024/12/MB85RQ8MX-DS1v1-J.pdf</t>
  </si>
  <si>
    <t>R9</t>
  </si>
  <si>
    <t>1k</t>
  </si>
  <si>
    <t>Resistor_SMD:R_0603_1608Metric_Pad0.98x0.95mm_HandSolder</t>
  </si>
  <si>
    <t>~</t>
  </si>
  <si>
    <t>R5,R6</t>
  </si>
  <si>
    <t>R3,R4</t>
  </si>
  <si>
    <t>4.7k</t>
  </si>
  <si>
    <t>R1,R2,R7,R8,R10,R11,R12,R13,R15</t>
  </si>
  <si>
    <t>10k</t>
  </si>
  <si>
    <t>J7</t>
  </si>
  <si>
    <t>DF51A-8DP-2DS</t>
  </si>
  <si>
    <t>TSRP_Connector_Hirose:DF51A-8DP-2DS</t>
  </si>
  <si>
    <t>https://www.hirose.com/ja/product/p/CL0543-5059-0-20</t>
  </si>
  <si>
    <t>J5</t>
  </si>
  <si>
    <t>DF51A-4P-2DSA</t>
  </si>
  <si>
    <t>TSRP_Connector_Hirose:DF51A-4P-2DSA</t>
  </si>
  <si>
    <t>https://www.hirose.com/ja/product/p/CL0543-5107-0-00</t>
  </si>
  <si>
    <t>H1,H2,H3,H4</t>
  </si>
  <si>
    <t>MountingHole</t>
  </si>
  <si>
    <t>C1,C2,C6,C7,C8,C9</t>
  </si>
  <si>
    <t>0.1u</t>
  </si>
  <si>
    <t>https://strawberry-linux.com/catalog/items?code=42688</t>
    <phoneticPr fontId="18"/>
  </si>
  <si>
    <t>https://strawberry-linux.com/catalog/items?code=18721</t>
    <phoneticPr fontId="18"/>
  </si>
  <si>
    <t>https://strawberry-linux.com/catalog/items?code=12112</t>
    <phoneticPr fontId="18"/>
  </si>
  <si>
    <t>https://akizukidenshi.com/catalog/g/g131171/</t>
    <phoneticPr fontId="18"/>
  </si>
  <si>
    <t>https://akizukidenshi.com/catalog/g/g130008/</t>
    <phoneticPr fontId="18"/>
  </si>
  <si>
    <t>https://akizukidenshi.com/catalog/g/g129635/</t>
    <phoneticPr fontId="18"/>
  </si>
  <si>
    <t>https://akizukidenshi.com/catalog/g/g117949/</t>
    <phoneticPr fontId="18"/>
  </si>
  <si>
    <t>https://akizukidenshi.com/catalog/g/g116985/</t>
    <phoneticPr fontId="18"/>
  </si>
  <si>
    <t>https://akizukidenshi.com/catalog/g/g114737/</t>
    <phoneticPr fontId="18"/>
  </si>
  <si>
    <t>https://akizukidenshi.com/catalog/g/g116568/</t>
    <phoneticPr fontId="18"/>
  </si>
  <si>
    <t>https://akizukidenshi.com/catalog/g/g113374/</t>
    <phoneticPr fontId="18"/>
  </si>
  <si>
    <t>https://akizukidenshi.com/catalog/g/g112249/</t>
    <phoneticPr fontId="18"/>
  </si>
  <si>
    <t>https://akizukidenshi.com/catalog/g/g112248/</t>
    <phoneticPr fontId="18"/>
  </si>
  <si>
    <t>https://akizukidenshi.com/catalog/g/g112031/</t>
    <phoneticPr fontId="18"/>
  </si>
  <si>
    <t>https://akizukidenshi.com/catalog/g/g111188/</t>
    <phoneticPr fontId="18"/>
  </si>
  <si>
    <t>https://akizukidenshi.com/catalog/g/g109801/</t>
    <phoneticPr fontId="18"/>
  </si>
  <si>
    <t>https://akizukidenshi.com/catalog/g/g106185/</t>
    <phoneticPr fontId="18"/>
  </si>
  <si>
    <t>https://akizukidenshi.com/catalog/g/g106049/</t>
    <phoneticPr fontId="18"/>
  </si>
  <si>
    <t>https://akizukidenshi.com/catalog/g/g102722/</t>
    <phoneticPr fontId="18"/>
  </si>
  <si>
    <t>https://akizukidenshi.com/catalog/g/g102627/</t>
    <phoneticPr fontId="18"/>
  </si>
  <si>
    <t>https://akizukidenshi.com/catalog/g/g101398/</t>
    <phoneticPr fontId="18"/>
  </si>
  <si>
    <t xml:space="preserve">単価 </t>
    <rPh sb="0" eb="2">
      <t>タンカ</t>
    </rPh>
    <phoneticPr fontId="18"/>
  </si>
  <si>
    <t>MA10EB045</t>
    <phoneticPr fontId="18"/>
  </si>
  <si>
    <t>https://akizukidenshi.com/catalog/g/g117496/</t>
    <phoneticPr fontId="18"/>
  </si>
  <si>
    <t>合計</t>
    <rPh sb="0" eb="2">
      <t>ゴウケイ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</si>
</sst>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 &quot;¥&quot;* #,##0_ ;_ &quot;¥&quot;* \-#,##0_ ;_ &quot;¥&quot;* &quot;-&quot;_ ;_ @_ "/>
  </numFmts>
  <fonts count="21" x14ac:knownFonts="1">
    <font>
      <sz val="11"/>
      <color theme="1"/>
      <name val="Moralerspace Neon JPDOC"/>
      <family val="2"/>
      <charset val="128"/>
    </font>
    <font>
      <sz val="11"/>
      <color theme="1"/>
      <name val="Moralerspace Neon JPDOC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oralerspace Neon JPDOC"/>
      <family val="2"/>
      <charset val="128"/>
    </font>
    <font>
      <b/>
      <sz val="13"/>
      <color theme="3"/>
      <name val="Moralerspace Neon JPDOC"/>
      <family val="2"/>
      <charset val="128"/>
    </font>
    <font>
      <b/>
      <sz val="11"/>
      <color theme="3"/>
      <name val="Moralerspace Neon JPDOC"/>
      <family val="2"/>
      <charset val="128"/>
    </font>
    <font>
      <sz val="11"/>
      <color rgb="FF006100"/>
      <name val="Moralerspace Neon JPDOC"/>
      <family val="2"/>
      <charset val="128"/>
    </font>
    <font>
      <sz val="11"/>
      <color rgb="FF9C0006"/>
      <name val="Moralerspace Neon JPDOC"/>
      <family val="2"/>
      <charset val="128"/>
    </font>
    <font>
      <sz val="11"/>
      <color rgb="FF9C5700"/>
      <name val="Moralerspace Neon JPDOC"/>
      <family val="2"/>
      <charset val="128"/>
    </font>
    <font>
      <sz val="11"/>
      <color rgb="FF3F3F76"/>
      <name val="Moralerspace Neon JPDOC"/>
      <family val="2"/>
      <charset val="128"/>
    </font>
    <font>
      <b/>
      <sz val="11"/>
      <color rgb="FF3F3F3F"/>
      <name val="Moralerspace Neon JPDOC"/>
      <family val="2"/>
      <charset val="128"/>
    </font>
    <font>
      <b/>
      <sz val="11"/>
      <color rgb="FFFA7D00"/>
      <name val="Moralerspace Neon JPDOC"/>
      <family val="2"/>
      <charset val="128"/>
    </font>
    <font>
      <sz val="11"/>
      <color rgb="FFFA7D00"/>
      <name val="Moralerspace Neon JPDOC"/>
      <family val="2"/>
      <charset val="128"/>
    </font>
    <font>
      <b/>
      <sz val="11"/>
      <color theme="0"/>
      <name val="Moralerspace Neon JPDOC"/>
      <family val="2"/>
      <charset val="128"/>
    </font>
    <font>
      <sz val="11"/>
      <color rgb="FFFF0000"/>
      <name val="Moralerspace Neon JPDOC"/>
      <family val="2"/>
      <charset val="128"/>
    </font>
    <font>
      <i/>
      <sz val="11"/>
      <color rgb="FF7F7F7F"/>
      <name val="Moralerspace Neon JPDOC"/>
      <family val="2"/>
      <charset val="128"/>
    </font>
    <font>
      <b/>
      <sz val="11"/>
      <color theme="1"/>
      <name val="Moralerspace Neon JPDOC"/>
      <family val="2"/>
      <charset val="128"/>
    </font>
    <font>
      <sz val="11"/>
      <color theme="0"/>
      <name val="Moralerspace Neon JPDOC"/>
      <family val="2"/>
      <charset val="128"/>
    </font>
    <font>
      <sz val="6"/>
      <name val="Moralerspace Neon JPDOC"/>
      <family val="2"/>
      <charset val="128"/>
    </font>
    <font>
      <sz val="11"/>
      <color theme="2" tint="-0.249977111117893"/>
      <name val="Moralerspace Neon JPDOC"/>
      <family val="2"/>
      <charset val="128"/>
    </font>
    <font>
      <u/>
      <sz val="11"/>
      <color theme="10"/>
      <name val="Moralerspace Neon JPDO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42">
      <alignment vertical="center"/>
    </xf>
    <xf numFmtId="42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1" defaultTableStyle="TableStyleMedium2" defaultPivotStyle="PivotStyleLight16">
    <tableStyle name="Invisible" pivot="0" table="0" count="0" xr9:uid="{4A1C8375-94BD-4574-8745-EF49A3A85A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116985/" TargetMode="External"/><Relationship Id="rId13" Type="http://schemas.openxmlformats.org/officeDocument/2006/relationships/hyperlink" Target="https://akizukidenshi.com/catalog/g/g112248/" TargetMode="External"/><Relationship Id="rId18" Type="http://schemas.openxmlformats.org/officeDocument/2006/relationships/hyperlink" Target="https://akizukidenshi.com/catalog/g/g106049/" TargetMode="External"/><Relationship Id="rId3" Type="http://schemas.openxmlformats.org/officeDocument/2006/relationships/hyperlink" Target="https://strawberry-linux.com/catalog/items?code=12112" TargetMode="External"/><Relationship Id="rId21" Type="http://schemas.openxmlformats.org/officeDocument/2006/relationships/hyperlink" Target="https://akizukidenshi.com/catalog/g/g101398/" TargetMode="External"/><Relationship Id="rId7" Type="http://schemas.openxmlformats.org/officeDocument/2006/relationships/hyperlink" Target="https://akizukidenshi.com/catalog/g/g117949/" TargetMode="External"/><Relationship Id="rId12" Type="http://schemas.openxmlformats.org/officeDocument/2006/relationships/hyperlink" Target="https://akizukidenshi.com/catalog/g/g112249/" TargetMode="External"/><Relationship Id="rId17" Type="http://schemas.openxmlformats.org/officeDocument/2006/relationships/hyperlink" Target="https://akizukidenshi.com/catalog/g/g106185/" TargetMode="External"/><Relationship Id="rId2" Type="http://schemas.openxmlformats.org/officeDocument/2006/relationships/hyperlink" Target="https://strawberry-linux.com/catalog/items?code=18721" TargetMode="External"/><Relationship Id="rId16" Type="http://schemas.openxmlformats.org/officeDocument/2006/relationships/hyperlink" Target="https://akizukidenshi.com/catalog/g/g109801/" TargetMode="External"/><Relationship Id="rId20" Type="http://schemas.openxmlformats.org/officeDocument/2006/relationships/hyperlink" Target="https://akizukidenshi.com/catalog/g/g102627/" TargetMode="External"/><Relationship Id="rId1" Type="http://schemas.openxmlformats.org/officeDocument/2006/relationships/hyperlink" Target="https://strawberry-linux.com/catalog/items?code=42688" TargetMode="External"/><Relationship Id="rId6" Type="http://schemas.openxmlformats.org/officeDocument/2006/relationships/hyperlink" Target="https://akizukidenshi.com/catalog/g/g129635/" TargetMode="External"/><Relationship Id="rId11" Type="http://schemas.openxmlformats.org/officeDocument/2006/relationships/hyperlink" Target="https://akizukidenshi.com/catalog/g/g113374/" TargetMode="External"/><Relationship Id="rId5" Type="http://schemas.openxmlformats.org/officeDocument/2006/relationships/hyperlink" Target="https://akizukidenshi.com/catalog/g/g130008/" TargetMode="External"/><Relationship Id="rId15" Type="http://schemas.openxmlformats.org/officeDocument/2006/relationships/hyperlink" Target="https://akizukidenshi.com/catalog/g/g111188/" TargetMode="External"/><Relationship Id="rId10" Type="http://schemas.openxmlformats.org/officeDocument/2006/relationships/hyperlink" Target="https://akizukidenshi.com/catalog/g/g116568/" TargetMode="External"/><Relationship Id="rId19" Type="http://schemas.openxmlformats.org/officeDocument/2006/relationships/hyperlink" Target="https://akizukidenshi.com/catalog/g/g102722/" TargetMode="External"/><Relationship Id="rId4" Type="http://schemas.openxmlformats.org/officeDocument/2006/relationships/hyperlink" Target="https://akizukidenshi.com/catalog/g/g131171/" TargetMode="External"/><Relationship Id="rId9" Type="http://schemas.openxmlformats.org/officeDocument/2006/relationships/hyperlink" Target="https://akizukidenshi.com/catalog/g/g114737/" TargetMode="External"/><Relationship Id="rId14" Type="http://schemas.openxmlformats.org/officeDocument/2006/relationships/hyperlink" Target="https://akizukidenshi.com/catalog/g/g112031/" TargetMode="External"/><Relationship Id="rId22" Type="http://schemas.openxmlformats.org/officeDocument/2006/relationships/hyperlink" Target="https://akizukidenshi.com/catalog/g/g1174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155E-6872-4292-8191-67DFBF4E3942}">
  <dimension ref="A1:H32"/>
  <sheetViews>
    <sheetView tabSelected="1" workbookViewId="0">
      <pane xSplit="3" topLeftCell="E1" activePane="topRight" state="frozen"/>
      <selection pane="topRight" activeCell="H32" sqref="H32"/>
    </sheetView>
  </sheetViews>
  <sheetFormatPr defaultRowHeight="14.4" x14ac:dyDescent="0.3"/>
  <cols>
    <col min="1" max="3" width="17.7265625" customWidth="1"/>
    <col min="4" max="4" width="17.7265625" style="1" customWidth="1"/>
    <col min="5" max="5" width="88.08984375" customWidth="1"/>
    <col min="6" max="6" width="68.90625" customWidth="1"/>
    <col min="7" max="7" width="17.7265625" style="3" customWidth="1"/>
    <col min="8" max="8" width="14.1796875" style="3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4" t="s">
        <v>136</v>
      </c>
    </row>
    <row r="2" spans="1:8" x14ac:dyDescent="0.3">
      <c r="A2" t="s">
        <v>6</v>
      </c>
      <c r="B2">
        <v>1</v>
      </c>
      <c r="C2" t="s">
        <v>7</v>
      </c>
      <c r="D2" s="1" t="s">
        <v>8</v>
      </c>
      <c r="E2" t="s">
        <v>9</v>
      </c>
      <c r="F2" s="2" t="s">
        <v>115</v>
      </c>
      <c r="G2" s="3">
        <v>1320</v>
      </c>
      <c r="H2" s="3">
        <f>G2*B2</f>
        <v>1320</v>
      </c>
    </row>
    <row r="3" spans="1:8" x14ac:dyDescent="0.3">
      <c r="A3" t="s">
        <v>10</v>
      </c>
      <c r="B3">
        <v>1</v>
      </c>
      <c r="C3" t="s">
        <v>11</v>
      </c>
      <c r="D3" s="1" t="s">
        <v>12</v>
      </c>
      <c r="E3" t="s">
        <v>13</v>
      </c>
      <c r="F3" s="2" t="s">
        <v>116</v>
      </c>
      <c r="G3" s="3">
        <v>1100</v>
      </c>
      <c r="H3" s="3">
        <f t="shared" ref="H3:H31" si="0">G3*B3</f>
        <v>1100</v>
      </c>
    </row>
    <row r="4" spans="1:8" x14ac:dyDescent="0.3">
      <c r="A4" t="s">
        <v>14</v>
      </c>
      <c r="B4">
        <v>1</v>
      </c>
      <c r="C4" t="s">
        <v>15</v>
      </c>
      <c r="D4" s="1" t="s">
        <v>16</v>
      </c>
      <c r="E4" t="s">
        <v>17</v>
      </c>
      <c r="F4" s="2" t="s">
        <v>117</v>
      </c>
      <c r="G4" s="3">
        <v>2354</v>
      </c>
      <c r="H4" s="3">
        <f t="shared" si="0"/>
        <v>2354</v>
      </c>
    </row>
    <row r="5" spans="1:8" x14ac:dyDescent="0.3">
      <c r="A5" t="s">
        <v>18</v>
      </c>
      <c r="B5">
        <v>1</v>
      </c>
      <c r="C5" t="s">
        <v>19</v>
      </c>
      <c r="D5" s="1" t="s">
        <v>20</v>
      </c>
      <c r="E5" t="s">
        <v>21</v>
      </c>
      <c r="F5" s="2" t="s">
        <v>118</v>
      </c>
      <c r="G5" s="3">
        <v>1100</v>
      </c>
      <c r="H5" s="3">
        <f t="shared" si="0"/>
        <v>1100</v>
      </c>
    </row>
    <row r="6" spans="1:8" x14ac:dyDescent="0.3">
      <c r="A6" t="s">
        <v>22</v>
      </c>
      <c r="B6">
        <v>1</v>
      </c>
      <c r="C6" t="s">
        <v>23</v>
      </c>
      <c r="D6" s="1" t="s">
        <v>24</v>
      </c>
      <c r="E6" t="s">
        <v>25</v>
      </c>
      <c r="F6" s="2" t="s">
        <v>119</v>
      </c>
      <c r="G6" s="3">
        <v>60</v>
      </c>
      <c r="H6" s="3">
        <f t="shared" si="0"/>
        <v>60</v>
      </c>
    </row>
    <row r="7" spans="1:8" x14ac:dyDescent="0.3">
      <c r="A7" t="s">
        <v>26</v>
      </c>
      <c r="B7">
        <v>1</v>
      </c>
      <c r="C7" t="s">
        <v>27</v>
      </c>
      <c r="D7" s="1" t="s">
        <v>28</v>
      </c>
      <c r="E7" t="s">
        <v>29</v>
      </c>
      <c r="F7" s="2" t="s">
        <v>120</v>
      </c>
      <c r="G7" s="3">
        <v>180</v>
      </c>
      <c r="H7" s="3">
        <f t="shared" si="0"/>
        <v>180</v>
      </c>
    </row>
    <row r="8" spans="1:8" x14ac:dyDescent="0.3">
      <c r="A8" t="s">
        <v>30</v>
      </c>
      <c r="B8">
        <v>1</v>
      </c>
      <c r="C8" t="s">
        <v>31</v>
      </c>
      <c r="D8" s="1" t="s">
        <v>32</v>
      </c>
      <c r="E8" t="s">
        <v>33</v>
      </c>
      <c r="F8" s="2" t="s">
        <v>121</v>
      </c>
      <c r="G8" s="3">
        <v>70</v>
      </c>
      <c r="H8" s="3">
        <f t="shared" si="0"/>
        <v>70</v>
      </c>
    </row>
    <row r="9" spans="1:8" x14ac:dyDescent="0.3">
      <c r="A9" t="s">
        <v>34</v>
      </c>
      <c r="B9">
        <v>1</v>
      </c>
      <c r="C9" t="s">
        <v>35</v>
      </c>
      <c r="D9" s="1" t="s">
        <v>36</v>
      </c>
      <c r="E9" t="s">
        <v>37</v>
      </c>
      <c r="F9" s="2" t="s">
        <v>122</v>
      </c>
      <c r="G9" s="3">
        <v>160</v>
      </c>
      <c r="H9" s="3">
        <f t="shared" si="0"/>
        <v>160</v>
      </c>
    </row>
    <row r="10" spans="1:8" x14ac:dyDescent="0.3">
      <c r="A10" t="s">
        <v>38</v>
      </c>
      <c r="B10">
        <v>1</v>
      </c>
      <c r="C10" t="s">
        <v>39</v>
      </c>
      <c r="D10" s="1" t="s">
        <v>24</v>
      </c>
      <c r="E10" t="s">
        <v>40</v>
      </c>
      <c r="F10" s="2" t="s">
        <v>124</v>
      </c>
      <c r="G10" s="3">
        <v>160</v>
      </c>
      <c r="H10" s="3">
        <f t="shared" si="0"/>
        <v>160</v>
      </c>
    </row>
    <row r="11" spans="1:8" x14ac:dyDescent="0.3">
      <c r="A11" t="s">
        <v>41</v>
      </c>
      <c r="B11">
        <v>2</v>
      </c>
      <c r="C11" t="s">
        <v>42</v>
      </c>
      <c r="D11" s="1" t="s">
        <v>43</v>
      </c>
      <c r="E11" t="s">
        <v>44</v>
      </c>
      <c r="F11" s="2" t="s">
        <v>123</v>
      </c>
      <c r="G11" s="3">
        <v>60</v>
      </c>
      <c r="H11" s="3">
        <f t="shared" si="0"/>
        <v>120</v>
      </c>
    </row>
    <row r="12" spans="1:8" x14ac:dyDescent="0.3">
      <c r="A12" t="s">
        <v>45</v>
      </c>
      <c r="B12">
        <v>1</v>
      </c>
      <c r="C12" t="s">
        <v>46</v>
      </c>
      <c r="D12" s="1" t="s">
        <v>47</v>
      </c>
      <c r="E12" t="s">
        <v>48</v>
      </c>
      <c r="F12" s="2" t="s">
        <v>125</v>
      </c>
      <c r="G12" s="3">
        <v>100</v>
      </c>
      <c r="H12" s="3">
        <f t="shared" si="0"/>
        <v>100</v>
      </c>
    </row>
    <row r="13" spans="1:8" x14ac:dyDescent="0.3">
      <c r="A13" t="s">
        <v>49</v>
      </c>
      <c r="B13">
        <v>1</v>
      </c>
      <c r="C13" t="s">
        <v>50</v>
      </c>
      <c r="D13" s="1" t="s">
        <v>51</v>
      </c>
      <c r="E13" t="s">
        <v>52</v>
      </c>
      <c r="F13" s="2" t="s">
        <v>126</v>
      </c>
      <c r="G13" s="3">
        <v>10</v>
      </c>
      <c r="H13" s="3">
        <f t="shared" si="0"/>
        <v>10</v>
      </c>
    </row>
    <row r="14" spans="1:8" x14ac:dyDescent="0.3">
      <c r="A14" t="s">
        <v>53</v>
      </c>
      <c r="B14">
        <v>2</v>
      </c>
      <c r="C14" t="s">
        <v>54</v>
      </c>
      <c r="D14" s="1" t="s">
        <v>55</v>
      </c>
      <c r="E14" t="s">
        <v>52</v>
      </c>
      <c r="F14" s="2" t="s">
        <v>127</v>
      </c>
      <c r="G14" s="3">
        <v>10</v>
      </c>
      <c r="H14" s="3">
        <f t="shared" si="0"/>
        <v>20</v>
      </c>
    </row>
    <row r="15" spans="1:8" x14ac:dyDescent="0.3">
      <c r="A15" t="s">
        <v>56</v>
      </c>
      <c r="B15">
        <v>1</v>
      </c>
      <c r="C15" t="s">
        <v>57</v>
      </c>
      <c r="D15" s="1" t="s">
        <v>58</v>
      </c>
      <c r="E15" t="s">
        <v>59</v>
      </c>
      <c r="F15" s="2" t="s">
        <v>128</v>
      </c>
      <c r="G15" s="3">
        <v>580</v>
      </c>
      <c r="H15" s="3">
        <f t="shared" si="0"/>
        <v>580</v>
      </c>
    </row>
    <row r="16" spans="1:8" x14ac:dyDescent="0.3">
      <c r="A16" t="s">
        <v>60</v>
      </c>
      <c r="B16">
        <v>1</v>
      </c>
      <c r="C16" t="s">
        <v>61</v>
      </c>
      <c r="D16" s="1" t="s">
        <v>62</v>
      </c>
      <c r="E16" t="s">
        <v>63</v>
      </c>
      <c r="F16" s="2" t="s">
        <v>129</v>
      </c>
      <c r="G16" s="3">
        <v>240</v>
      </c>
      <c r="H16" s="3">
        <f t="shared" si="0"/>
        <v>240</v>
      </c>
    </row>
    <row r="17" spans="1:8" x14ac:dyDescent="0.3">
      <c r="A17" t="s">
        <v>64</v>
      </c>
      <c r="B17">
        <v>1</v>
      </c>
      <c r="C17" t="s">
        <v>65</v>
      </c>
      <c r="D17" s="1" t="s">
        <v>66</v>
      </c>
      <c r="E17" t="s">
        <v>67</v>
      </c>
      <c r="F17" s="2" t="s">
        <v>130</v>
      </c>
      <c r="G17" s="3">
        <v>100</v>
      </c>
      <c r="H17" s="3">
        <f t="shared" si="0"/>
        <v>100</v>
      </c>
    </row>
    <row r="18" spans="1:8" x14ac:dyDescent="0.3">
      <c r="A18" t="s">
        <v>68</v>
      </c>
      <c r="B18">
        <v>1</v>
      </c>
      <c r="C18" t="s">
        <v>69</v>
      </c>
      <c r="D18" s="1" t="s">
        <v>70</v>
      </c>
      <c r="E18" t="s">
        <v>71</v>
      </c>
      <c r="F18" s="2" t="s">
        <v>131</v>
      </c>
      <c r="G18" s="3">
        <v>100</v>
      </c>
      <c r="H18" s="3">
        <f t="shared" si="0"/>
        <v>100</v>
      </c>
    </row>
    <row r="19" spans="1:8" x14ac:dyDescent="0.3">
      <c r="A19" t="s">
        <v>72</v>
      </c>
      <c r="B19">
        <v>1</v>
      </c>
      <c r="C19" t="s">
        <v>73</v>
      </c>
      <c r="D19" s="1" t="s">
        <v>74</v>
      </c>
      <c r="E19" t="s">
        <v>75</v>
      </c>
      <c r="F19" s="2" t="s">
        <v>132</v>
      </c>
      <c r="G19" s="3">
        <v>330</v>
      </c>
      <c r="H19" s="3">
        <f t="shared" si="0"/>
        <v>330</v>
      </c>
    </row>
    <row r="20" spans="1:8" x14ac:dyDescent="0.3">
      <c r="A20" t="s">
        <v>76</v>
      </c>
      <c r="B20">
        <v>1</v>
      </c>
      <c r="C20" t="s">
        <v>77</v>
      </c>
      <c r="D20" s="1" t="s">
        <v>78</v>
      </c>
      <c r="E20" t="s">
        <v>79</v>
      </c>
      <c r="F20" s="2" t="s">
        <v>133</v>
      </c>
      <c r="G20" s="3">
        <v>60</v>
      </c>
      <c r="H20" s="3">
        <f t="shared" si="0"/>
        <v>60</v>
      </c>
    </row>
    <row r="21" spans="1:8" x14ac:dyDescent="0.3">
      <c r="A21" t="s">
        <v>80</v>
      </c>
      <c r="B21">
        <v>1</v>
      </c>
      <c r="C21" t="s">
        <v>81</v>
      </c>
      <c r="D21" s="1" t="s">
        <v>82</v>
      </c>
      <c r="E21" t="s">
        <v>83</v>
      </c>
      <c r="F21" s="2" t="s">
        <v>134</v>
      </c>
      <c r="G21" s="3">
        <v>110</v>
      </c>
      <c r="H21" s="3">
        <f t="shared" si="0"/>
        <v>110</v>
      </c>
    </row>
    <row r="22" spans="1:8" x14ac:dyDescent="0.3">
      <c r="A22" t="s">
        <v>84</v>
      </c>
      <c r="B22">
        <v>1</v>
      </c>
      <c r="C22" t="s">
        <v>137</v>
      </c>
      <c r="D22" s="1" t="s">
        <v>85</v>
      </c>
      <c r="E22" t="s">
        <v>86</v>
      </c>
      <c r="F22" s="2" t="s">
        <v>138</v>
      </c>
      <c r="G22" s="3">
        <v>150</v>
      </c>
      <c r="H22" s="3">
        <f t="shared" si="0"/>
        <v>150</v>
      </c>
    </row>
    <row r="23" spans="1:8" x14ac:dyDescent="0.3">
      <c r="A23" t="s">
        <v>87</v>
      </c>
      <c r="B23">
        <v>1</v>
      </c>
      <c r="C23" t="s">
        <v>88</v>
      </c>
      <c r="D23" s="1" t="s">
        <v>36</v>
      </c>
      <c r="E23" t="s">
        <v>89</v>
      </c>
      <c r="F23" s="2" t="s">
        <v>135</v>
      </c>
      <c r="G23" s="3">
        <v>150</v>
      </c>
      <c r="H23" s="3">
        <f t="shared" si="0"/>
        <v>150</v>
      </c>
    </row>
    <row r="24" spans="1:8" x14ac:dyDescent="0.3">
      <c r="A24" t="s">
        <v>90</v>
      </c>
      <c r="B24">
        <v>1</v>
      </c>
      <c r="C24" t="s">
        <v>91</v>
      </c>
      <c r="D24" s="1" t="s">
        <v>92</v>
      </c>
      <c r="E24" t="s">
        <v>93</v>
      </c>
      <c r="H24" s="3">
        <f t="shared" si="0"/>
        <v>0</v>
      </c>
    </row>
    <row r="25" spans="1:8" x14ac:dyDescent="0.3">
      <c r="A25" t="s">
        <v>94</v>
      </c>
      <c r="B25">
        <v>1</v>
      </c>
      <c r="C25" t="s">
        <v>95</v>
      </c>
      <c r="D25" s="1" t="s">
        <v>96</v>
      </c>
      <c r="E25" t="s">
        <v>97</v>
      </c>
      <c r="H25" s="3">
        <f t="shared" si="0"/>
        <v>0</v>
      </c>
    </row>
    <row r="26" spans="1:8" x14ac:dyDescent="0.3">
      <c r="A26" t="s">
        <v>98</v>
      </c>
      <c r="B26">
        <v>2</v>
      </c>
      <c r="C26">
        <v>120</v>
      </c>
      <c r="D26" s="1" t="s">
        <v>96</v>
      </c>
      <c r="E26" t="s">
        <v>97</v>
      </c>
      <c r="H26" s="3">
        <f t="shared" si="0"/>
        <v>0</v>
      </c>
    </row>
    <row r="27" spans="1:8" x14ac:dyDescent="0.3">
      <c r="A27" t="s">
        <v>99</v>
      </c>
      <c r="B27">
        <v>2</v>
      </c>
      <c r="C27" t="s">
        <v>100</v>
      </c>
      <c r="D27" s="1" t="s">
        <v>96</v>
      </c>
      <c r="E27" t="s">
        <v>97</v>
      </c>
      <c r="H27" s="3">
        <f t="shared" si="0"/>
        <v>0</v>
      </c>
    </row>
    <row r="28" spans="1:8" x14ac:dyDescent="0.3">
      <c r="A28" t="s">
        <v>101</v>
      </c>
      <c r="B28">
        <v>9</v>
      </c>
      <c r="C28" t="s">
        <v>102</v>
      </c>
      <c r="D28" s="1" t="s">
        <v>96</v>
      </c>
      <c r="E28" t="s">
        <v>97</v>
      </c>
      <c r="H28" s="3">
        <f t="shared" si="0"/>
        <v>0</v>
      </c>
    </row>
    <row r="29" spans="1:8" x14ac:dyDescent="0.3">
      <c r="A29" t="s">
        <v>103</v>
      </c>
      <c r="B29">
        <v>1</v>
      </c>
      <c r="C29" t="s">
        <v>104</v>
      </c>
      <c r="D29" s="1" t="s">
        <v>105</v>
      </c>
      <c r="E29" t="s">
        <v>106</v>
      </c>
      <c r="H29" s="3">
        <f t="shared" si="0"/>
        <v>0</v>
      </c>
    </row>
    <row r="30" spans="1:8" x14ac:dyDescent="0.3">
      <c r="A30" t="s">
        <v>107</v>
      </c>
      <c r="B30">
        <v>1</v>
      </c>
      <c r="C30" t="s">
        <v>108</v>
      </c>
      <c r="D30" s="1" t="s">
        <v>109</v>
      </c>
      <c r="E30" t="s">
        <v>110</v>
      </c>
      <c r="H30" s="3">
        <f t="shared" si="0"/>
        <v>0</v>
      </c>
    </row>
    <row r="31" spans="1:8" x14ac:dyDescent="0.3">
      <c r="A31" t="s">
        <v>111</v>
      </c>
      <c r="B31">
        <v>4</v>
      </c>
      <c r="C31" t="s">
        <v>112</v>
      </c>
      <c r="H31" s="3">
        <f t="shared" si="0"/>
        <v>0</v>
      </c>
    </row>
    <row r="32" spans="1:8" x14ac:dyDescent="0.3">
      <c r="A32" t="s">
        <v>113</v>
      </c>
      <c r="B32">
        <v>6</v>
      </c>
      <c r="C32" t="s">
        <v>114</v>
      </c>
      <c r="D32" s="1" t="s">
        <v>47</v>
      </c>
      <c r="E32" t="s">
        <v>97</v>
      </c>
      <c r="F32" s="5"/>
      <c r="G32" s="3" t="s">
        <v>139</v>
      </c>
      <c r="H32" s="3">
        <f>SUM(H2:H31)</f>
        <v>8574</v>
      </c>
    </row>
  </sheetData>
  <phoneticPr fontId="18"/>
  <hyperlinks>
    <hyperlink ref="F2" r:id="rId1" xr:uid="{BE64EA40-DFD2-4A3B-BC6D-576103176ED3}"/>
    <hyperlink ref="F3" r:id="rId2" xr:uid="{6E93B1C6-91AE-4536-99BC-5B25D8F393D3}"/>
    <hyperlink ref="F4" r:id="rId3" xr:uid="{09A9D408-E160-4E9E-86C3-8FC8FED54C6B}"/>
    <hyperlink ref="F5" r:id="rId4" xr:uid="{1581A95B-93FA-4CF3-B642-B744E75D68B7}"/>
    <hyperlink ref="F6" r:id="rId5" xr:uid="{4D661375-8DF7-46A4-8AD7-154168DE4924}"/>
    <hyperlink ref="F7" r:id="rId6" xr:uid="{6870BDDF-7C45-4FEE-8645-FFF68AF8103A}"/>
    <hyperlink ref="F8" r:id="rId7" xr:uid="{8FFA0D41-2D91-4D64-AAF4-15CAAE616E59}"/>
    <hyperlink ref="F9" r:id="rId8" xr:uid="{0CA6F6E2-5F5C-4CC3-B8EE-FC1E56831085}"/>
    <hyperlink ref="F11" r:id="rId9" xr:uid="{9E53063B-01CC-4128-90E0-E5704D491BDD}"/>
    <hyperlink ref="F10" r:id="rId10" xr:uid="{827D4EE3-D37B-4217-B937-FCDD5F76F4FA}"/>
    <hyperlink ref="F12" r:id="rId11" xr:uid="{1AFB2CC0-9253-495B-8346-D7693912AECE}"/>
    <hyperlink ref="F13" r:id="rId12" xr:uid="{B7BDF868-7253-4271-AD12-768E7FE2EDE4}"/>
    <hyperlink ref="F14" r:id="rId13" xr:uid="{42341E44-57A0-4C67-AED2-8FF4866B2A41}"/>
    <hyperlink ref="F15" r:id="rId14" xr:uid="{ADBBBA6A-AD16-447C-9EE4-8417975E0E5B}"/>
    <hyperlink ref="F16" r:id="rId15" xr:uid="{0FECF159-F014-4F8E-AEAD-7A85A15B0E47}"/>
    <hyperlink ref="F17" r:id="rId16" xr:uid="{080A950C-871F-49BC-9A36-92AD50C04B4C}"/>
    <hyperlink ref="F18" r:id="rId17" xr:uid="{EF0CC8B1-0B00-4EDF-948C-22FA21D8048B}"/>
    <hyperlink ref="F19" r:id="rId18" xr:uid="{57B8B5A5-6BA0-412A-B535-CF7E6C0A3BBD}"/>
    <hyperlink ref="F20" r:id="rId19" xr:uid="{95860CF4-8DCC-42EE-B0B8-881034F16E25}"/>
    <hyperlink ref="F21" r:id="rId20" xr:uid="{E2C30406-636B-46FF-8713-5E33A8CF2452}"/>
    <hyperlink ref="F23" r:id="rId21" xr:uid="{3B565C8F-7D23-431E-98B6-46CD619B0A42}"/>
    <hyperlink ref="F22" r:id="rId22" xr:uid="{8E3BA8B5-27DD-48CB-91F1-A8353B994D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THRValveControlModule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Tsutsumi</dc:creator>
  <cp:lastModifiedBy>5CEMM058</cp:lastModifiedBy>
  <dcterms:created xsi:type="dcterms:W3CDTF">2026-01-14T22:27:17Z</dcterms:created>
  <dcterms:modified xsi:type="dcterms:W3CDTF">2026-01-15T07:30:02Z</dcterms:modified>
</cp:coreProperties>
</file>